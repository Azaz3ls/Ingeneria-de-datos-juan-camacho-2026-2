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Datos_Originales" sheetId="2" state="visible" r:id="rId4"/>
    <sheet name="Valores_Faltantes" sheetId="3" state="visible" r:id="rId5"/>
    <sheet name="Estadisticas_Descriptivas" sheetId="4" state="visible" r:id="rId6"/>
    <sheet name="Analisis_Rondas" sheetId="5" state="visible" r:id="rId7"/>
    <sheet name="Analisis_Comprador" sheetId="6" state="visible" r:id="rId8"/>
    <sheet name="Grafico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<sst xmlns="http://schemas.openxmlformats.org/spreadsheetml/2006/main" count="95" uniqueCount="70">
  <si>
    <t xml:space="preserve">Análisis Exploratorio de Datos — Frutería</t>
  </si>
  <si>
    <t xml:space="preserve">Resumen de hallazgos clave (calculado automáticamente a partir de Datos_Originales)</t>
  </si>
  <si>
    <t xml:space="preserve">Indicador</t>
  </si>
  <si>
    <t xml:space="preserve">Valor</t>
  </si>
  <si>
    <t xml:space="preserve">Total invertido (todas las frutas)</t>
  </si>
  <si>
    <t xml:space="preserve">Total vendido (Total)</t>
  </si>
  <si>
    <t xml:space="preserve">Ganancia neta (Venta - Inversión)</t>
  </si>
  <si>
    <t xml:space="preserve">N° de frutas registradas</t>
  </si>
  <si>
    <t xml:space="preserve">N° de frutas SIN venta (comprador vacío)</t>
  </si>
  <si>
    <t xml:space="preserve">Fruta con mayor inversión</t>
  </si>
  <si>
    <t xml:space="preserve">Fruta con mayor Total vendido</t>
  </si>
  <si>
    <t xml:space="preserve">Ronda más rentable</t>
  </si>
  <si>
    <t xml:space="preserve">Comprador que más gastó</t>
  </si>
  <si>
    <t xml:space="preserve">Ver hojas: Datos_Originales, Valores_Faltantes, Estadisticas_Descriptivas, Analisis_Rondas, Analisis_Comprador, Graficos</t>
  </si>
  <si>
    <t xml:space="preserve">Datos originales — Frutería</t>
  </si>
  <si>
    <t xml:space="preserve">Fuente: fruteria_inge_de_datos.xlsx (Hoja 1). Copiado sin modificar para trazabilidad del análisis.</t>
  </si>
  <si>
    <t xml:space="preserve">Frutas</t>
  </si>
  <si>
    <t xml:space="preserve">Inversión (MIL)</t>
  </si>
  <si>
    <t xml:space="preserve">Precio en K</t>
  </si>
  <si>
    <t xml:space="preserve">Precio de ganancia en K</t>
  </si>
  <si>
    <t xml:space="preserve">Ganancia</t>
  </si>
  <si>
    <t xml:space="preserve">Cantidad</t>
  </si>
  <si>
    <t xml:space="preserve">Nombre del comprador</t>
  </si>
  <si>
    <t xml:space="preserve">Total</t>
  </si>
  <si>
    <t xml:space="preserve">Ronda</t>
  </si>
  <si>
    <t xml:space="preserve">Pera</t>
  </si>
  <si>
    <t xml:space="preserve">Juan Esteban</t>
  </si>
  <si>
    <t xml:space="preserve">Piña</t>
  </si>
  <si>
    <t xml:space="preserve">David</t>
  </si>
  <si>
    <t xml:space="preserve">Papaya</t>
  </si>
  <si>
    <t xml:space="preserve">Antwone</t>
  </si>
  <si>
    <t xml:space="preserve">Sandía</t>
  </si>
  <si>
    <t xml:space="preserve">Manzana</t>
  </si>
  <si>
    <t xml:space="preserve">Sara</t>
  </si>
  <si>
    <t xml:space="preserve">Banano</t>
  </si>
  <si>
    <t xml:space="preserve">Uva</t>
  </si>
  <si>
    <t xml:space="preserve">Lina</t>
  </si>
  <si>
    <t xml:space="preserve">Naranja</t>
  </si>
  <si>
    <t xml:space="preserve">Lima</t>
  </si>
  <si>
    <t xml:space="preserve">Mariana</t>
  </si>
  <si>
    <t xml:space="preserve">Pitahaya</t>
  </si>
  <si>
    <t xml:space="preserve">Cereza</t>
  </si>
  <si>
    <t xml:space="preserve">Alisson</t>
  </si>
  <si>
    <t xml:space="preserve">Arándanos</t>
  </si>
  <si>
    <t xml:space="preserve">Análisis de valores faltantes</t>
  </si>
  <si>
    <t xml:space="preserve">Total de filas de datos: 12</t>
  </si>
  <si>
    <t xml:space="preserve">Columna</t>
  </si>
  <si>
    <t xml:space="preserve">Valores presentes</t>
  </si>
  <si>
    <t xml:space="preserve">Valores nulos</t>
  </si>
  <si>
    <t xml:space="preserve">% Nulos</t>
  </si>
  <si>
    <t xml:space="preserve">Nota: 'Ganancia' está vacía en el 100% de las filas; 'Precio de ganancia en K' solo se registró cuando el precio de venta difirió del precio de lista.</t>
  </si>
  <si>
    <t xml:space="preserve">Estadística descriptiva (columnas numéricas)</t>
  </si>
  <si>
    <t xml:space="preserve">Métrica</t>
  </si>
  <si>
    <t xml:space="preserve">N (conteo)</t>
  </si>
  <si>
    <t xml:space="preserve">Mínimo</t>
  </si>
  <si>
    <t xml:space="preserve">Máximo</t>
  </si>
  <si>
    <t xml:space="preserve">Promedio</t>
  </si>
  <si>
    <t xml:space="preserve">Mediana</t>
  </si>
  <si>
    <t xml:space="preserve">Desviación estándar</t>
  </si>
  <si>
    <t xml:space="preserve">Suma</t>
  </si>
  <si>
    <t xml:space="preserve">Análisis por ronda</t>
  </si>
  <si>
    <t xml:space="preserve">Gasto (Inversión)</t>
  </si>
  <si>
    <t xml:space="preserve">Venta (Total)</t>
  </si>
  <si>
    <t xml:space="preserve">Ganancia neta</t>
  </si>
  <si>
    <t xml:space="preserve">N° frutas vendidas</t>
  </si>
  <si>
    <t xml:space="preserve">Análisis por comprador</t>
  </si>
  <si>
    <t xml:space="preserve">Comprador</t>
  </si>
  <si>
    <t xml:space="preserve">Total gastado</t>
  </si>
  <si>
    <t xml:space="preserve">N° compras</t>
  </si>
  <si>
    <t xml:space="preserve">Visualizaciones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</si>
</sst>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"/>
    <numFmt numFmtId="167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F5597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2F5597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Inversión vs Total por fruta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Datos_Originales!B4</c:f>
              <c:strCache>
                <c:ptCount val="1"/>
                <c:pt idx="0">
                  <c:v>Inversión (MIL)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Datos_Originales!$A$5:$A$16</c:f>
              <c:strCache>
                <c:ptCount val="12"/>
                <c:pt idx="0">
                  <c:v>Pera</c:v>
                </c:pt>
                <c:pt idx="1">
                  <c:v>Piña</c:v>
                </c:pt>
                <c:pt idx="2">
                  <c:v>Papaya</c:v>
                </c:pt>
                <c:pt idx="3">
                  <c:v>Sandía</c:v>
                </c:pt>
                <c:pt idx="4">
                  <c:v>Manzana</c:v>
                </c:pt>
                <c:pt idx="5">
                  <c:v>Banano</c:v>
                </c:pt>
                <c:pt idx="6">
                  <c:v>Uva</c:v>
                </c:pt>
                <c:pt idx="7">
                  <c:v>Naranja</c:v>
                </c:pt>
                <c:pt idx="8">
                  <c:v>Lima</c:v>
                </c:pt>
                <c:pt idx="9">
                  <c:v>Pitahaya</c:v>
                </c:pt>
                <c:pt idx="10">
                  <c:v>Cereza</c:v>
                </c:pt>
                <c:pt idx="11">
                  <c:v>Arándanos</c:v>
                </c:pt>
              </c:strCache>
            </c:strRef>
          </c:cat>
          <c:val>
            <c:numRef>
              <c:f>Datos_Originales!$B$5:$B$16</c:f>
              <c:numCache>
                <c:formatCode>General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4</c:v>
                </c:pt>
                <c:pt idx="3">
                  <c:v>6</c:v>
                </c:pt>
                <c:pt idx="4">
                  <c:v>2</c:v>
                </c:pt>
                <c:pt idx="5">
                  <c:v>1</c:v>
                </c:pt>
                <c:pt idx="6">
                  <c:v>6</c:v>
                </c:pt>
                <c:pt idx="7">
                  <c:v>2</c:v>
                </c:pt>
                <c:pt idx="8">
                  <c:v>1</c:v>
                </c:pt>
                <c:pt idx="9">
                  <c:v>5</c:v>
                </c:pt>
                <c:pt idx="10">
                  <c:v>4</c:v>
                </c:pt>
                <c:pt idx="11">
                  <c:v>5</c:v>
                </c:pt>
              </c:numCache>
            </c:numRef>
          </c:val>
        </c:ser>
        <c:ser>
          <c:idx val="1"/>
          <c:order val="1"/>
          <c:tx>
            <c:strRef>
              <c:f>Datos_Originales!H4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Datos_Originales!$A$5:$A$16</c:f>
              <c:strCache>
                <c:ptCount val="12"/>
                <c:pt idx="0">
                  <c:v>Pera</c:v>
                </c:pt>
                <c:pt idx="1">
                  <c:v>Piña</c:v>
                </c:pt>
                <c:pt idx="2">
                  <c:v>Papaya</c:v>
                </c:pt>
                <c:pt idx="3">
                  <c:v>Sandía</c:v>
                </c:pt>
                <c:pt idx="4">
                  <c:v>Manzana</c:v>
                </c:pt>
                <c:pt idx="5">
                  <c:v>Banano</c:v>
                </c:pt>
                <c:pt idx="6">
                  <c:v>Uva</c:v>
                </c:pt>
                <c:pt idx="7">
                  <c:v>Naranja</c:v>
                </c:pt>
                <c:pt idx="8">
                  <c:v>Lima</c:v>
                </c:pt>
                <c:pt idx="9">
                  <c:v>Pitahaya</c:v>
                </c:pt>
                <c:pt idx="10">
                  <c:v>Cereza</c:v>
                </c:pt>
                <c:pt idx="11">
                  <c:v>Arándanos</c:v>
                </c:pt>
              </c:strCache>
            </c:strRef>
          </c:cat>
          <c:val>
            <c:numRef>
              <c:f>Datos_Originales!$H$5:$H$16</c:f>
              <c:numCache>
                <c:formatCode>General</c:formatCode>
                <c:ptCount val="12"/>
                <c:pt idx="0">
                  <c:v>2.5</c:v>
                </c:pt>
                <c:pt idx="1">
                  <c:v>8</c:v>
                </c:pt>
                <c:pt idx="2">
                  <c:v>18</c:v>
                </c:pt>
                <c:pt idx="3">
                  <c:v>0</c:v>
                </c:pt>
                <c:pt idx="4">
                  <c:v>3.5</c:v>
                </c:pt>
                <c:pt idx="5">
                  <c:v>4</c:v>
                </c:pt>
                <c:pt idx="6">
                  <c:v>10</c:v>
                </c:pt>
                <c:pt idx="7">
                  <c:v>0</c:v>
                </c:pt>
                <c:pt idx="8">
                  <c:v>4</c:v>
                </c:pt>
                <c:pt idx="9">
                  <c:v>8</c:v>
                </c:pt>
                <c:pt idx="10">
                  <c:v>6</c:v>
                </c:pt>
                <c:pt idx="11">
                  <c:v>10</c:v>
                </c:pt>
              </c:numCache>
            </c:numRef>
          </c:val>
        </c:ser>
        <c:gapWidth val="150"/>
        <c:overlap val="0"/>
        <c:axId val="76222812"/>
        <c:axId val="51451299"/>
      </c:barChart>
      <c:catAx>
        <c:axId val="762228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Fruta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451299"/>
        <c:crosses val="autoZero"/>
        <c:auto val="1"/>
        <c:lblAlgn val="ctr"/>
        <c:lblOffset val="100"/>
        <c:noMultiLvlLbl val="0"/>
      </c:catAx>
      <c:valAx>
        <c:axId val="514512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Miles (K)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2228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Gasto vs Venta por ronda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Analisis_Rondas!B3</c:f>
              <c:strCache>
                <c:ptCount val="1"/>
                <c:pt idx="0">
                  <c:v>Gasto (Inversión)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Analisis_Rondas!$A$4:$A$6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Analisis_Rondas!$B$4:$B$6</c:f>
              <c:numCache>
                <c:formatCode>General</c:formatCode>
                <c:ptCount val="3"/>
                <c:pt idx="0">
                  <c:v>12</c:v>
                </c:pt>
                <c:pt idx="1">
                  <c:v>3</c:v>
                </c:pt>
                <c:pt idx="2">
                  <c:v>19</c:v>
                </c:pt>
              </c:numCache>
            </c:numRef>
          </c:val>
        </c:ser>
        <c:ser>
          <c:idx val="1"/>
          <c:order val="1"/>
          <c:tx>
            <c:strRef>
              <c:f>Analisis_Rondas!C3</c:f>
              <c:strCache>
                <c:ptCount val="1"/>
                <c:pt idx="0">
                  <c:v>Venta (Total)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Analisis_Rondas!$A$4:$A$6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Analisis_Rondas!$C$4:$C$6</c:f>
              <c:numCache>
                <c:formatCode>General</c:formatCode>
                <c:ptCount val="3"/>
                <c:pt idx="0">
                  <c:v>33.5</c:v>
                </c:pt>
                <c:pt idx="1">
                  <c:v>6.5</c:v>
                </c:pt>
                <c:pt idx="2">
                  <c:v>34</c:v>
                </c:pt>
              </c:numCache>
            </c:numRef>
          </c:val>
        </c:ser>
        <c:gapWidth val="150"/>
        <c:overlap val="0"/>
        <c:axId val="77602982"/>
        <c:axId val="59386213"/>
      </c:barChart>
      <c:catAx>
        <c:axId val="7760298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Ronda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386213"/>
        <c:crosses val="autoZero"/>
        <c:auto val="1"/>
        <c:lblAlgn val="ctr"/>
        <c:lblOffset val="100"/>
        <c:noMultiLvlLbl val="0"/>
      </c:catAx>
      <c:valAx>
        <c:axId val="593862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Miles (K)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6029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gastado por comprador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Analisis_Comprador!B3</c:f>
              <c:strCache>
                <c:ptCount val="1"/>
                <c:pt idx="0">
                  <c:v>Total gastado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Analisis_Comprador!$A$4:$A$10</c:f>
              <c:strCache>
                <c:ptCount val="7"/>
                <c:pt idx="0">
                  <c:v>Juan Esteban</c:v>
                </c:pt>
                <c:pt idx="1">
                  <c:v>David</c:v>
                </c:pt>
                <c:pt idx="2">
                  <c:v>Antwone</c:v>
                </c:pt>
                <c:pt idx="3">
                  <c:v>Sara</c:v>
                </c:pt>
                <c:pt idx="4">
                  <c:v>Lina</c:v>
                </c:pt>
                <c:pt idx="5">
                  <c:v>Mariana</c:v>
                </c:pt>
                <c:pt idx="6">
                  <c:v>Alisson</c:v>
                </c:pt>
              </c:strCache>
            </c:strRef>
          </c:cat>
          <c:val>
            <c:numRef>
              <c:f>Analisis_Comprador!$B$4:$B$10</c:f>
              <c:numCache>
                <c:formatCode>General</c:formatCode>
                <c:ptCount val="7"/>
                <c:pt idx="0">
                  <c:v>2.5</c:v>
                </c:pt>
                <c:pt idx="1">
                  <c:v>18</c:v>
                </c:pt>
                <c:pt idx="2">
                  <c:v>30</c:v>
                </c:pt>
                <c:pt idx="3">
                  <c:v>3.5</c:v>
                </c:pt>
                <c:pt idx="4">
                  <c:v>10</c:v>
                </c:pt>
                <c:pt idx="5">
                  <c:v>4</c:v>
                </c:pt>
                <c:pt idx="6">
                  <c:v>6</c:v>
                </c:pt>
              </c:numCache>
            </c:numRef>
          </c:val>
        </c:ser>
        <c:gapWidth val="150"/>
        <c:overlap val="0"/>
        <c:axId val="53260177"/>
        <c:axId val="813718"/>
      </c:barChart>
      <c:catAx>
        <c:axId val="532601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Comprador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3718"/>
        <c:crosses val="autoZero"/>
        <c:auto val="1"/>
        <c:lblAlgn val="ctr"/>
        <c:lblOffset val="100"/>
        <c:noMultiLvlLbl val="0"/>
      </c:catAx>
      <c:valAx>
        <c:axId val="8137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Miles (K)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2601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160560</xdr:rowOff>
    </xdr:from>
    <xdr:to>
      <xdr:col>11</xdr:col>
      <xdr:colOff>472320</xdr:colOff>
      <xdr:row>20</xdr:row>
      <xdr:rowOff>140040</xdr:rowOff>
    </xdr:to>
    <xdr:graphicFrame>
      <xdr:nvGraphicFramePr>
        <xdr:cNvPr id="0" name="Chart 1"/>
        <xdr:cNvGraphicFramePr/>
      </xdr:nvGraphicFramePr>
      <xdr:xfrm>
        <a:off x="0" y="379800"/>
        <a:ext cx="7198920" cy="35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20</xdr:row>
      <xdr:rowOff>160920</xdr:rowOff>
    </xdr:from>
    <xdr:to>
      <xdr:col>11</xdr:col>
      <xdr:colOff>472320</xdr:colOff>
      <xdr:row>39</xdr:row>
      <xdr:rowOff>140400</xdr:rowOff>
    </xdr:to>
    <xdr:graphicFrame>
      <xdr:nvGraphicFramePr>
        <xdr:cNvPr id="1" name="Chart 2"/>
        <xdr:cNvGraphicFramePr/>
      </xdr:nvGraphicFramePr>
      <xdr:xfrm>
        <a:off x="0" y="3999600"/>
        <a:ext cx="7198920" cy="35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39</xdr:row>
      <xdr:rowOff>160920</xdr:rowOff>
    </xdr:from>
    <xdr:to>
      <xdr:col>11</xdr:col>
      <xdr:colOff>472320</xdr:colOff>
      <xdr:row>58</xdr:row>
      <xdr:rowOff>140040</xdr:rowOff>
    </xdr:to>
    <xdr:graphicFrame>
      <xdr:nvGraphicFramePr>
        <xdr:cNvPr id="2" name="Chart 3"/>
        <xdr:cNvGraphicFramePr/>
      </xdr:nvGraphicFramePr>
      <xdr:xfrm>
        <a:off x="0" y="7619040"/>
        <a:ext cx="7198920" cy="359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20"/>
  </cols>
  <sheetData>
    <row r="1" customFormat="false" ht="19.5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true" outlineLevel="0" collapsed="false">
      <c r="A2" s="3" t="s">
        <v>1</v>
      </c>
      <c r="B2" s="3"/>
      <c r="C2" s="3"/>
      <c r="D2" s="3"/>
    </row>
    <row r="4" customFormat="false" ht="15" hidden="false" customHeight="true" outlineLevel="0" collapsed="false">
      <c r="A4" s="4" t="s">
        <v>2</v>
      </c>
      <c r="B4" s="4" t="s">
        <v>3</v>
      </c>
    </row>
    <row r="5" customFormat="false" ht="15" hidden="false" customHeight="true" outlineLevel="0" collapsed="false">
      <c r="A5" s="5" t="s">
        <v>4</v>
      </c>
      <c r="B5" s="6" t="n">
        <f aca="false">SUM(Datos_Originales!$B$5:$B$16)</f>
        <v>42</v>
      </c>
    </row>
    <row r="6" customFormat="false" ht="15" hidden="false" customHeight="true" outlineLevel="0" collapsed="false">
      <c r="A6" s="5" t="s">
        <v>5</v>
      </c>
      <c r="B6" s="6" t="n">
        <f aca="false">SUM(Datos_Originales!$H$5:$H$16)</f>
        <v>74</v>
      </c>
    </row>
    <row r="7" customFormat="false" ht="15" hidden="false" customHeight="true" outlineLevel="0" collapsed="false">
      <c r="A7" s="5" t="s">
        <v>6</v>
      </c>
      <c r="B7" s="6" t="n">
        <f aca="false">SUM(Datos_Originales!$H$5:$H$16)-SUM(Datos_Originales!$B$5:$B$16)</f>
        <v>32</v>
      </c>
    </row>
    <row r="8" customFormat="false" ht="15" hidden="false" customHeight="true" outlineLevel="0" collapsed="false">
      <c r="A8" s="5" t="s">
        <v>7</v>
      </c>
      <c r="B8" s="7" t="n">
        <f aca="false">COUNTA(Datos_Originales!$A$5:$A$16)</f>
        <v>12</v>
      </c>
    </row>
    <row r="9" customFormat="false" ht="15" hidden="false" customHeight="true" outlineLevel="0" collapsed="false">
      <c r="A9" s="5" t="s">
        <v>8</v>
      </c>
      <c r="B9" s="7" t="n">
        <f aca="false">COUNTBLANK(Datos_Originales!$G$5:$G$16)</f>
        <v>2</v>
      </c>
    </row>
    <row r="10" customFormat="false" ht="15" hidden="false" customHeight="true" outlineLevel="0" collapsed="false">
      <c r="A10" s="5" t="s">
        <v>9</v>
      </c>
      <c r="B10" s="8" t="str">
        <f aca="false">INDEX(Datos_Originales!$A$5:$A$16,MATCH(MAX(Datos_Originales!$B$5:$B$16),Datos_Originales!$B$5:$B$16,0))</f>
        <v>Sandía</v>
      </c>
    </row>
    <row r="11" customFormat="false" ht="15" hidden="false" customHeight="true" outlineLevel="0" collapsed="false">
      <c r="A11" s="5" t="s">
        <v>10</v>
      </c>
      <c r="B11" s="8" t="str">
        <f aca="false">INDEX(Datos_Originales!$A$5:$A$16,MATCH(MAX(Datos_Originales!$H$5:$H$16),Datos_Originales!$H$5:$H$16,0))</f>
        <v>Papaya</v>
      </c>
    </row>
    <row r="12" customFormat="false" ht="15" hidden="false" customHeight="true" outlineLevel="0" collapsed="false">
      <c r="A12" s="5" t="s">
        <v>11</v>
      </c>
      <c r="B12" s="7" t="n">
        <f aca="false">INDEX(Analisis_Rondas!$A$4:$A$6,MATCH(MAX(Analisis_Rondas!$D$4:$D$6),Analisis_Rondas!$D$4:$D$6,0))</f>
        <v>1</v>
      </c>
    </row>
    <row r="13" customFormat="false" ht="15" hidden="false" customHeight="true" outlineLevel="0" collapsed="false">
      <c r="A13" s="5" t="s">
        <v>12</v>
      </c>
      <c r="B13" s="8" t="str">
        <f aca="false">INDEX(Analisis_Comprador!$A$4:$A$10,MATCH(MAX(Analisis_Comprador!$B$4:$B$10),Analisis_Comprador!$B$4:$B$10,0))</f>
        <v>Antwone</v>
      </c>
    </row>
    <row r="16" customFormat="false" ht="15" hidden="false" customHeight="true" outlineLevel="0" collapsed="false">
      <c r="A16" s="3" t="s">
        <v>13</v>
      </c>
      <c r="B16" s="3"/>
      <c r="C16" s="3"/>
      <c r="D16" s="3"/>
    </row>
  </sheetData>
  <mergeCells count="3">
    <mergeCell ref="A1:D1"/>
    <mergeCell ref="A2:D2"/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5"/>
    <col collapsed="false" customWidth="true" hidden="false" outlineLevel="0" max="3" min="3" style="1" width="12"/>
    <col collapsed="false" customWidth="true" hidden="false" outlineLevel="0" max="4" min="4" style="1" width="20"/>
    <col collapsed="false" customWidth="true" hidden="false" outlineLevel="0" max="6" min="5" style="1" width="10"/>
    <col collapsed="false" customWidth="true" hidden="false" outlineLevel="0" max="7" min="7" style="1" width="18"/>
    <col collapsed="false" customWidth="true" hidden="false" outlineLevel="0" max="8" min="8" style="1" width="10"/>
    <col collapsed="false" customWidth="true" hidden="false" outlineLevel="0" max="9" min="9" style="1" width="8"/>
  </cols>
  <sheetData>
    <row r="1" customFormat="false" ht="17.25" hidden="false" customHeight="true" outlineLevel="0" collapsed="false">
      <c r="A1" s="9" t="s">
        <v>14</v>
      </c>
    </row>
    <row r="2" customFormat="false" ht="15" hidden="false" customHeight="true" outlineLevel="0" collapsed="false">
      <c r="A2" s="10" t="s">
        <v>15</v>
      </c>
    </row>
    <row r="4" customFormat="false" ht="26.25" hidden="false" customHeight="true" outlineLevel="0" collapsed="false">
      <c r="A4" s="4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22</v>
      </c>
      <c r="H4" s="4" t="s">
        <v>23</v>
      </c>
      <c r="I4" s="4" t="s">
        <v>24</v>
      </c>
    </row>
    <row r="5" customFormat="false" ht="15" hidden="false" customHeight="true" outlineLevel="0" collapsed="false">
      <c r="A5" s="5" t="s">
        <v>25</v>
      </c>
      <c r="B5" s="11" t="n">
        <v>2</v>
      </c>
      <c r="C5" s="11" t="n">
        <v>2.5</v>
      </c>
      <c r="D5" s="11"/>
      <c r="E5" s="5"/>
      <c r="F5" s="11" t="n">
        <v>1</v>
      </c>
      <c r="G5" s="5" t="s">
        <v>26</v>
      </c>
      <c r="H5" s="11" t="n">
        <v>2.5</v>
      </c>
      <c r="I5" s="11" t="n">
        <v>2</v>
      </c>
    </row>
    <row r="6" customFormat="false" ht="15" hidden="false" customHeight="true" outlineLevel="0" collapsed="false">
      <c r="A6" s="5" t="s">
        <v>27</v>
      </c>
      <c r="B6" s="11" t="n">
        <v>4</v>
      </c>
      <c r="C6" s="11" t="n">
        <v>6</v>
      </c>
      <c r="D6" s="11" t="n">
        <v>8</v>
      </c>
      <c r="E6" s="5"/>
      <c r="F6" s="11" t="n">
        <v>1</v>
      </c>
      <c r="G6" s="5" t="s">
        <v>28</v>
      </c>
      <c r="H6" s="11" t="n">
        <v>8</v>
      </c>
      <c r="I6" s="11" t="n">
        <v>3</v>
      </c>
    </row>
    <row r="7" customFormat="false" ht="15" hidden="false" customHeight="true" outlineLevel="0" collapsed="false">
      <c r="A7" s="5" t="s">
        <v>29</v>
      </c>
      <c r="B7" s="11" t="n">
        <v>4</v>
      </c>
      <c r="C7" s="11" t="n">
        <v>6</v>
      </c>
      <c r="D7" s="11"/>
      <c r="E7" s="5"/>
      <c r="F7" s="11" t="n">
        <v>3</v>
      </c>
      <c r="G7" s="5" t="s">
        <v>30</v>
      </c>
      <c r="H7" s="11" t="n">
        <v>18</v>
      </c>
      <c r="I7" s="11" t="n">
        <v>1</v>
      </c>
    </row>
    <row r="8" customFormat="false" ht="15" hidden="false" customHeight="true" outlineLevel="0" collapsed="false">
      <c r="A8" s="5" t="s">
        <v>31</v>
      </c>
      <c r="B8" s="11" t="n">
        <v>6</v>
      </c>
      <c r="C8" s="11" t="n">
        <v>8</v>
      </c>
      <c r="D8" s="11"/>
      <c r="E8" s="5"/>
      <c r="F8" s="11"/>
      <c r="G8" s="5"/>
      <c r="H8" s="11" t="n">
        <v>0</v>
      </c>
      <c r="I8" s="11"/>
    </row>
    <row r="9" customFormat="false" ht="15" hidden="false" customHeight="true" outlineLevel="0" collapsed="false">
      <c r="A9" s="5" t="s">
        <v>32</v>
      </c>
      <c r="B9" s="11" t="n">
        <v>2</v>
      </c>
      <c r="C9" s="11" t="n">
        <v>3.5</v>
      </c>
      <c r="D9" s="11"/>
      <c r="E9" s="5"/>
      <c r="F9" s="11" t="n">
        <v>1</v>
      </c>
      <c r="G9" s="5" t="s">
        <v>33</v>
      </c>
      <c r="H9" s="11" t="n">
        <v>3.5</v>
      </c>
      <c r="I9" s="11" t="n">
        <v>1</v>
      </c>
    </row>
    <row r="10" customFormat="false" ht="15" hidden="false" customHeight="true" outlineLevel="0" collapsed="false">
      <c r="A10" s="5" t="s">
        <v>34</v>
      </c>
      <c r="B10" s="11" t="n">
        <v>1</v>
      </c>
      <c r="C10" s="11" t="n">
        <v>4</v>
      </c>
      <c r="D10" s="11"/>
      <c r="E10" s="5"/>
      <c r="F10" s="11" t="n">
        <v>1</v>
      </c>
      <c r="G10" s="5" t="s">
        <v>30</v>
      </c>
      <c r="H10" s="11" t="n">
        <v>4</v>
      </c>
      <c r="I10" s="11" t="n">
        <v>1</v>
      </c>
    </row>
    <row r="11" customFormat="false" ht="15" hidden="false" customHeight="true" outlineLevel="0" collapsed="false">
      <c r="A11" s="5" t="s">
        <v>35</v>
      </c>
      <c r="B11" s="11" t="n">
        <v>6</v>
      </c>
      <c r="C11" s="11" t="n">
        <v>9</v>
      </c>
      <c r="D11" s="11" t="n">
        <v>10</v>
      </c>
      <c r="E11" s="5"/>
      <c r="F11" s="11" t="n">
        <v>1</v>
      </c>
      <c r="G11" s="5" t="s">
        <v>36</v>
      </c>
      <c r="H11" s="11" t="n">
        <v>10</v>
      </c>
      <c r="I11" s="11" t="n">
        <v>3</v>
      </c>
    </row>
    <row r="12" customFormat="false" ht="15" hidden="false" customHeight="true" outlineLevel="0" collapsed="false">
      <c r="A12" s="5" t="s">
        <v>37</v>
      </c>
      <c r="B12" s="11" t="n">
        <v>2</v>
      </c>
      <c r="C12" s="11" t="n">
        <v>3</v>
      </c>
      <c r="D12" s="11"/>
      <c r="E12" s="5"/>
      <c r="F12" s="11"/>
      <c r="G12" s="5"/>
      <c r="H12" s="11" t="n">
        <v>0</v>
      </c>
      <c r="I12" s="11"/>
    </row>
    <row r="13" customFormat="false" ht="15" hidden="false" customHeight="true" outlineLevel="0" collapsed="false">
      <c r="A13" s="5" t="s">
        <v>38</v>
      </c>
      <c r="B13" s="11" t="n">
        <v>1</v>
      </c>
      <c r="C13" s="11" t="n">
        <v>2</v>
      </c>
      <c r="D13" s="11"/>
      <c r="E13" s="5"/>
      <c r="F13" s="11" t="n">
        <v>2</v>
      </c>
      <c r="G13" s="5" t="s">
        <v>39</v>
      </c>
      <c r="H13" s="11" t="n">
        <v>4</v>
      </c>
      <c r="I13" s="11" t="n">
        <v>2</v>
      </c>
    </row>
    <row r="14" customFormat="false" ht="15" hidden="false" customHeight="true" outlineLevel="0" collapsed="false">
      <c r="A14" s="5" t="s">
        <v>40</v>
      </c>
      <c r="B14" s="11" t="n">
        <v>5</v>
      </c>
      <c r="C14" s="11" t="n">
        <v>8</v>
      </c>
      <c r="D14" s="11"/>
      <c r="E14" s="5"/>
      <c r="F14" s="11" t="n">
        <v>1</v>
      </c>
      <c r="G14" s="5" t="s">
        <v>30</v>
      </c>
      <c r="H14" s="11" t="n">
        <v>8</v>
      </c>
      <c r="I14" s="11" t="n">
        <v>1</v>
      </c>
    </row>
    <row r="15" customFormat="false" ht="15" hidden="false" customHeight="true" outlineLevel="0" collapsed="false">
      <c r="A15" s="5" t="s">
        <v>41</v>
      </c>
      <c r="B15" s="11" t="n">
        <v>4</v>
      </c>
      <c r="C15" s="11" t="n">
        <v>6</v>
      </c>
      <c r="D15" s="11"/>
      <c r="E15" s="5"/>
      <c r="F15" s="11" t="n">
        <v>1</v>
      </c>
      <c r="G15" s="5" t="s">
        <v>42</v>
      </c>
      <c r="H15" s="11" t="n">
        <v>6</v>
      </c>
      <c r="I15" s="11" t="n">
        <v>3</v>
      </c>
    </row>
    <row r="16" customFormat="false" ht="15" hidden="false" customHeight="true" outlineLevel="0" collapsed="false">
      <c r="A16" s="5" t="s">
        <v>43</v>
      </c>
      <c r="B16" s="11" t="n">
        <v>5</v>
      </c>
      <c r="C16" s="11" t="n">
        <v>8</v>
      </c>
      <c r="D16" s="11" t="n">
        <v>10</v>
      </c>
      <c r="E16" s="5"/>
      <c r="F16" s="11" t="n">
        <v>1</v>
      </c>
      <c r="G16" s="5" t="s">
        <v>28</v>
      </c>
      <c r="H16" s="11" t="n">
        <v>10</v>
      </c>
      <c r="I16" s="11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8"/>
    <col collapsed="false" customWidth="true" hidden="false" outlineLevel="0" max="3" min="3" style="1" width="15"/>
    <col collapsed="false" customWidth="true" hidden="false" outlineLevel="0" max="4" min="4" style="1" width="12"/>
  </cols>
  <sheetData>
    <row r="1" customFormat="false" ht="17.25" hidden="false" customHeight="true" outlineLevel="0" collapsed="false">
      <c r="A1" s="9" t="s">
        <v>44</v>
      </c>
    </row>
    <row r="2" customFormat="false" ht="15" hidden="false" customHeight="true" outlineLevel="0" collapsed="false">
      <c r="A2" s="10" t="s">
        <v>45</v>
      </c>
    </row>
    <row r="4" customFormat="false" ht="26.25" hidden="false" customHeight="true" outlineLevel="0" collapsed="false">
      <c r="A4" s="4" t="s">
        <v>46</v>
      </c>
      <c r="B4" s="4" t="s">
        <v>47</v>
      </c>
      <c r="C4" s="4" t="s">
        <v>48</v>
      </c>
      <c r="D4" s="4" t="s">
        <v>49</v>
      </c>
    </row>
    <row r="5" customFormat="false" ht="15" hidden="false" customHeight="true" outlineLevel="0" collapsed="false">
      <c r="A5" s="5" t="s">
        <v>16</v>
      </c>
      <c r="B5" s="11" t="n">
        <f aca="false">COUNTA(Datos_Originales!$A$5:$A$16)</f>
        <v>12</v>
      </c>
      <c r="C5" s="11" t="n">
        <f aca="false">12-B5</f>
        <v>0</v>
      </c>
      <c r="D5" s="12" t="n">
        <f aca="false">C5/12</f>
        <v>0</v>
      </c>
    </row>
    <row r="6" customFormat="false" ht="15" hidden="false" customHeight="true" outlineLevel="0" collapsed="false">
      <c r="A6" s="5" t="s">
        <v>17</v>
      </c>
      <c r="B6" s="11" t="n">
        <f aca="false">COUNT(Datos_Originales!$B$5:$B$16)</f>
        <v>12</v>
      </c>
      <c r="C6" s="11" t="n">
        <f aca="false">12-B6</f>
        <v>0</v>
      </c>
      <c r="D6" s="12" t="n">
        <f aca="false">C6/12</f>
        <v>0</v>
      </c>
    </row>
    <row r="7" customFormat="false" ht="15" hidden="false" customHeight="true" outlineLevel="0" collapsed="false">
      <c r="A7" s="5" t="s">
        <v>18</v>
      </c>
      <c r="B7" s="11" t="n">
        <f aca="false">COUNT(Datos_Originales!$C$5:$C$16)</f>
        <v>12</v>
      </c>
      <c r="C7" s="11" t="n">
        <f aca="false">12-B7</f>
        <v>0</v>
      </c>
      <c r="D7" s="12" t="n">
        <f aca="false">C7/12</f>
        <v>0</v>
      </c>
    </row>
    <row r="8" customFormat="false" ht="15" hidden="false" customHeight="true" outlineLevel="0" collapsed="false">
      <c r="A8" s="5" t="s">
        <v>19</v>
      </c>
      <c r="B8" s="11" t="n">
        <f aca="false">COUNT(Datos_Originales!$D$5:$D$16)</f>
        <v>3</v>
      </c>
      <c r="C8" s="11" t="n">
        <f aca="false">12-B8</f>
        <v>9</v>
      </c>
      <c r="D8" s="12" t="n">
        <f aca="false">C8/12</f>
        <v>0.75</v>
      </c>
    </row>
    <row r="9" customFormat="false" ht="15" hidden="false" customHeight="true" outlineLevel="0" collapsed="false">
      <c r="A9" s="5" t="s">
        <v>20</v>
      </c>
      <c r="B9" s="11" t="n">
        <f aca="false">COUNT(Datos_Originales!$E$5:$E$16)</f>
        <v>0</v>
      </c>
      <c r="C9" s="11" t="n">
        <f aca="false">12-B9</f>
        <v>12</v>
      </c>
      <c r="D9" s="12" t="n">
        <f aca="false">C9/12</f>
        <v>1</v>
      </c>
    </row>
    <row r="10" customFormat="false" ht="15" hidden="false" customHeight="true" outlineLevel="0" collapsed="false">
      <c r="A10" s="5" t="s">
        <v>21</v>
      </c>
      <c r="B10" s="11" t="n">
        <f aca="false">COUNT(Datos_Originales!$F$5:$F$16)</f>
        <v>10</v>
      </c>
      <c r="C10" s="11" t="n">
        <f aca="false">12-B10</f>
        <v>2</v>
      </c>
      <c r="D10" s="12" t="n">
        <f aca="false">C10/12</f>
        <v>0.166666666666667</v>
      </c>
    </row>
    <row r="11" customFormat="false" ht="15" hidden="false" customHeight="true" outlineLevel="0" collapsed="false">
      <c r="A11" s="5" t="s">
        <v>22</v>
      </c>
      <c r="B11" s="11" t="n">
        <f aca="false">COUNTA(Datos_Originales!$G$5:$G$16)</f>
        <v>10</v>
      </c>
      <c r="C11" s="11" t="n">
        <f aca="false">12-B11</f>
        <v>2</v>
      </c>
      <c r="D11" s="12" t="n">
        <f aca="false">C11/12</f>
        <v>0.166666666666667</v>
      </c>
    </row>
    <row r="12" customFormat="false" ht="15" hidden="false" customHeight="true" outlineLevel="0" collapsed="false">
      <c r="A12" s="5" t="s">
        <v>23</v>
      </c>
      <c r="B12" s="11" t="n">
        <f aca="false">COUNT(Datos_Originales!$H$5:$H$16)</f>
        <v>12</v>
      </c>
      <c r="C12" s="11" t="n">
        <f aca="false">12-B12</f>
        <v>0</v>
      </c>
      <c r="D12" s="12" t="n">
        <f aca="false">C12/12</f>
        <v>0</v>
      </c>
    </row>
    <row r="13" customFormat="false" ht="15" hidden="false" customHeight="true" outlineLevel="0" collapsed="false">
      <c r="A13" s="5" t="s">
        <v>24</v>
      </c>
      <c r="B13" s="11" t="n">
        <f aca="false">COUNT(Datos_Originales!$I$5:$I$16)</f>
        <v>10</v>
      </c>
      <c r="C13" s="11" t="n">
        <f aca="false">12-B13</f>
        <v>2</v>
      </c>
      <c r="D13" s="12" t="n">
        <f aca="false">C13/12</f>
        <v>0.166666666666667</v>
      </c>
    </row>
    <row r="15" customFormat="false" ht="23.25" hidden="false" customHeight="true" outlineLevel="0" collapsed="false">
      <c r="A15" s="13" t="s">
        <v>50</v>
      </c>
      <c r="B15" s="13"/>
      <c r="C15" s="13"/>
      <c r="D15" s="13"/>
    </row>
  </sheetData>
  <mergeCells count="1"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8"/>
    <col collapsed="false" customWidth="true" hidden="false" outlineLevel="0" max="3" min="3" style="1" width="15"/>
    <col collapsed="false" customWidth="true" hidden="false" outlineLevel="0" max="5" min="4" style="1" width="12"/>
  </cols>
  <sheetData>
    <row r="1" customFormat="false" ht="17.25" hidden="false" customHeight="true" outlineLevel="0" collapsed="false">
      <c r="A1" s="9" t="s">
        <v>51</v>
      </c>
    </row>
    <row r="3" customFormat="false" ht="15" hidden="false" customHeight="true" outlineLevel="0" collapsed="false">
      <c r="A3" s="4" t="s">
        <v>52</v>
      </c>
      <c r="B3" s="4" t="s">
        <v>17</v>
      </c>
      <c r="C3" s="4" t="s">
        <v>18</v>
      </c>
      <c r="D3" s="4" t="s">
        <v>21</v>
      </c>
      <c r="E3" s="4" t="s">
        <v>23</v>
      </c>
    </row>
    <row r="4" customFormat="false" ht="15" hidden="false" customHeight="true" outlineLevel="0" collapsed="false">
      <c r="A4" s="8" t="s">
        <v>53</v>
      </c>
      <c r="B4" s="11" t="n">
        <f aca="false">COUNT(Datos_Originales!$B$5:$B$16)</f>
        <v>12</v>
      </c>
      <c r="C4" s="11" t="n">
        <f aca="false">COUNT(Datos_Originales!$C$5:$C$16)</f>
        <v>12</v>
      </c>
      <c r="D4" s="11" t="n">
        <f aca="false">COUNT(Datos_Originales!$F$5:$F$16)</f>
        <v>10</v>
      </c>
      <c r="E4" s="11" t="n">
        <f aca="false">COUNT(Datos_Originales!$H$5:$H$16)</f>
        <v>12</v>
      </c>
    </row>
    <row r="5" customFormat="false" ht="15" hidden="false" customHeight="true" outlineLevel="0" collapsed="false">
      <c r="A5" s="8" t="s">
        <v>54</v>
      </c>
      <c r="B5" s="14" t="n">
        <f aca="false">MIN(Datos_Originales!$B$5:$B$16)</f>
        <v>1</v>
      </c>
      <c r="C5" s="14" t="n">
        <f aca="false">MIN(Datos_Originales!$C$5:$C$16)</f>
        <v>2</v>
      </c>
      <c r="D5" s="14" t="n">
        <f aca="false">MIN(Datos_Originales!$F$5:$F$16)</f>
        <v>1</v>
      </c>
      <c r="E5" s="14" t="n">
        <f aca="false">MIN(Datos_Originales!$H$5:$H$16)</f>
        <v>0</v>
      </c>
    </row>
    <row r="6" customFormat="false" ht="15" hidden="false" customHeight="true" outlineLevel="0" collapsed="false">
      <c r="A6" s="8" t="s">
        <v>55</v>
      </c>
      <c r="B6" s="14" t="n">
        <f aca="false">MAX(Datos_Originales!$B$5:$B$16)</f>
        <v>6</v>
      </c>
      <c r="C6" s="14" t="n">
        <f aca="false">MAX(Datos_Originales!$C$5:$C$16)</f>
        <v>9</v>
      </c>
      <c r="D6" s="14" t="n">
        <f aca="false">MAX(Datos_Originales!$F$5:$F$16)</f>
        <v>3</v>
      </c>
      <c r="E6" s="14" t="n">
        <f aca="false">MAX(Datos_Originales!$H$5:$H$16)</f>
        <v>18</v>
      </c>
    </row>
    <row r="7" customFormat="false" ht="15" hidden="false" customHeight="true" outlineLevel="0" collapsed="false">
      <c r="A7" s="8" t="s">
        <v>56</v>
      </c>
      <c r="B7" s="14" t="n">
        <f aca="false">AVERAGE(Datos_Originales!$B$5:$B$16)</f>
        <v>3.5</v>
      </c>
      <c r="C7" s="14" t="n">
        <f aca="false">AVERAGE(Datos_Originales!$C$5:$C$16)</f>
        <v>5.5</v>
      </c>
      <c r="D7" s="14" t="n">
        <f aca="false">AVERAGE(Datos_Originales!$F$5:$F$16)</f>
        <v>1.3</v>
      </c>
      <c r="E7" s="14" t="n">
        <f aca="false">AVERAGE(Datos_Originales!$H$5:$H$16)</f>
        <v>6.16666666666667</v>
      </c>
    </row>
    <row r="8" customFormat="false" ht="15" hidden="false" customHeight="true" outlineLevel="0" collapsed="false">
      <c r="A8" s="8" t="s">
        <v>57</v>
      </c>
      <c r="B8" s="14" t="n">
        <f aca="false">MEDIAN(Datos_Originales!$B$5:$B$16)</f>
        <v>4</v>
      </c>
      <c r="C8" s="14" t="n">
        <f aca="false">MEDIAN(Datos_Originales!$C$5:$C$16)</f>
        <v>6</v>
      </c>
      <c r="D8" s="14" t="n">
        <f aca="false">MEDIAN(Datos_Originales!$F$5:$F$16)</f>
        <v>1</v>
      </c>
      <c r="E8" s="14" t="n">
        <f aca="false">MEDIAN(Datos_Originales!$H$5:$H$16)</f>
        <v>5</v>
      </c>
    </row>
    <row r="9" customFormat="false" ht="15" hidden="false" customHeight="true" outlineLevel="0" collapsed="false">
      <c r="A9" s="8" t="s">
        <v>58</v>
      </c>
      <c r="B9" s="14" t="n">
        <f aca="false">_xlfn.STDEV.S(Datos_Originales!$B$5:$B$16)</f>
        <v>1.83402190925746</v>
      </c>
      <c r="C9" s="14" t="n">
        <f aca="false">_xlfn.STDEV.S(Datos_Originales!$C$5:$C$16)</f>
        <v>2.44019373299446</v>
      </c>
      <c r="D9" s="14" t="n">
        <f aca="false">_xlfn.STDEV.S(Datos_Originales!$F$5:$F$16)</f>
        <v>0.674948557710553</v>
      </c>
      <c r="E9" s="14" t="n">
        <f aca="false">_xlfn.STDEV.S(Datos_Originales!$H$5:$H$16)</f>
        <v>5.06473248568127</v>
      </c>
    </row>
    <row r="10" customFormat="false" ht="15" hidden="false" customHeight="true" outlineLevel="0" collapsed="false">
      <c r="A10" s="8" t="s">
        <v>59</v>
      </c>
      <c r="B10" s="14" t="n">
        <f aca="false">SUM(Datos_Originales!$B$5:$B$16)</f>
        <v>42</v>
      </c>
      <c r="C10" s="14" t="n">
        <f aca="false">SUM(Datos_Originales!$C$5:$C$16)</f>
        <v>66</v>
      </c>
      <c r="D10" s="14" t="n">
        <f aca="false">SUM(Datos_Originales!$F$5:$F$16)</f>
        <v>13</v>
      </c>
      <c r="E10" s="14" t="n">
        <f aca="false">SUM(Datos_Originales!$H$5:$H$16)</f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8"/>
    <col collapsed="false" customWidth="true" hidden="false" outlineLevel="0" max="4" min="3" style="1" width="15"/>
    <col collapsed="false" customWidth="true" hidden="false" outlineLevel="0" max="5" min="5" style="1" width="18"/>
  </cols>
  <sheetData>
    <row r="1" customFormat="false" ht="17.25" hidden="false" customHeight="true" outlineLevel="0" collapsed="false">
      <c r="A1" s="9" t="s">
        <v>60</v>
      </c>
    </row>
    <row r="3" customFormat="false" ht="26.25" hidden="false" customHeight="true" outlineLevel="0" collapsed="false">
      <c r="A3" s="4" t="s">
        <v>24</v>
      </c>
      <c r="B3" s="4" t="s">
        <v>61</v>
      </c>
      <c r="C3" s="4" t="s">
        <v>62</v>
      </c>
      <c r="D3" s="4" t="s">
        <v>63</v>
      </c>
      <c r="E3" s="4" t="s">
        <v>64</v>
      </c>
    </row>
    <row r="4" customFormat="false" ht="15" hidden="false" customHeight="true" outlineLevel="0" collapsed="false">
      <c r="A4" s="11" t="n">
        <v>1</v>
      </c>
      <c r="B4" s="11" t="n">
        <f aca="false">SUMIF(Datos_Originales!$I$5:$I$16,A4,Datos_Originales!$B$5:$B$16)</f>
        <v>12</v>
      </c>
      <c r="C4" s="11" t="n">
        <f aca="false">SUMIF(Datos_Originales!$I$5:$I$16,A4,Datos_Originales!$H$5:$H$16)</f>
        <v>33.5</v>
      </c>
      <c r="D4" s="11" t="n">
        <f aca="false">C4-B4</f>
        <v>21.5</v>
      </c>
      <c r="E4" s="11" t="n">
        <f aca="false">COUNTIF(Datos_Originales!$I$5:$I$16,A4)</f>
        <v>4</v>
      </c>
    </row>
    <row r="5" customFormat="false" ht="15" hidden="false" customHeight="true" outlineLevel="0" collapsed="false">
      <c r="A5" s="11" t="n">
        <v>2</v>
      </c>
      <c r="B5" s="11" t="n">
        <f aca="false">SUMIF(Datos_Originales!$I$5:$I$16,A5,Datos_Originales!$B$5:$B$16)</f>
        <v>3</v>
      </c>
      <c r="C5" s="11" t="n">
        <f aca="false">SUMIF(Datos_Originales!$I$5:$I$16,A5,Datos_Originales!$H$5:$H$16)</f>
        <v>6.5</v>
      </c>
      <c r="D5" s="11" t="n">
        <f aca="false">C5-B5</f>
        <v>3.5</v>
      </c>
      <c r="E5" s="11" t="n">
        <f aca="false">COUNTIF(Datos_Originales!$I$5:$I$16,A5)</f>
        <v>2</v>
      </c>
    </row>
    <row r="6" customFormat="false" ht="15" hidden="false" customHeight="true" outlineLevel="0" collapsed="false">
      <c r="A6" s="11" t="n">
        <v>3</v>
      </c>
      <c r="B6" s="11" t="n">
        <f aca="false">SUMIF(Datos_Originales!$I$5:$I$16,A6,Datos_Originales!$B$5:$B$16)</f>
        <v>19</v>
      </c>
      <c r="C6" s="11" t="n">
        <f aca="false">SUMIF(Datos_Originales!$I$5:$I$16,A6,Datos_Originales!$H$5:$H$16)</f>
        <v>34</v>
      </c>
      <c r="D6" s="11" t="n">
        <f aca="false">C6-B6</f>
        <v>15</v>
      </c>
      <c r="E6" s="11" t="n">
        <f aca="false">COUNTIF(Datos_Originales!$I$5:$I$16,A6)</f>
        <v>4</v>
      </c>
    </row>
    <row r="7" customFormat="false" ht="15" hidden="false" customHeight="true" outlineLevel="0" collapsed="false">
      <c r="A7" s="15" t="s">
        <v>23</v>
      </c>
      <c r="B7" s="15" t="n">
        <f aca="false">SUM(B4:B6)</f>
        <v>34</v>
      </c>
      <c r="C7" s="15" t="n">
        <f aca="false">SUM(C4:C6)</f>
        <v>74</v>
      </c>
      <c r="D7" s="15" t="n">
        <f aca="false">SUM(D4:D6)</f>
        <v>40</v>
      </c>
      <c r="E7" s="15" t="n">
        <f aca="false">SUM(E4:E6)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35"/>
  </cols>
  <sheetData>
    <row r="1" customFormat="false" ht="17.25" hidden="false" customHeight="true" outlineLevel="0" collapsed="false">
      <c r="A1" s="9" t="s">
        <v>65</v>
      </c>
    </row>
    <row r="3" customFormat="false" ht="26.25" hidden="false" customHeight="true" outlineLevel="0" collapsed="false">
      <c r="A3" s="4" t="s">
        <v>66</v>
      </c>
      <c r="B3" s="4" t="s">
        <v>67</v>
      </c>
      <c r="C3" s="4" t="s">
        <v>68</v>
      </c>
    </row>
    <row r="4" customFormat="false" ht="15" hidden="false" customHeight="true" outlineLevel="0" collapsed="false">
      <c r="A4" s="5" t="s">
        <v>26</v>
      </c>
      <c r="B4" s="11" t="n">
        <f aca="false">SUMIF(Datos_Originales!$G$5:$G$16,A4,Datos_Originales!$H$5:$H$16)</f>
        <v>2.5</v>
      </c>
      <c r="C4" s="11" t="n">
        <f aca="false">COUNTIF(Datos_Originales!$G$5:$G$16,A4)</f>
        <v>1</v>
      </c>
    </row>
    <row r="5" customFormat="false" ht="15" hidden="false" customHeight="true" outlineLevel="0" collapsed="false">
      <c r="A5" s="5" t="s">
        <v>28</v>
      </c>
      <c r="B5" s="11" t="n">
        <f aca="false">SUMIF(Datos_Originales!$G$5:$G$16,A5,Datos_Originales!$H$5:$H$16)</f>
        <v>18</v>
      </c>
      <c r="C5" s="11" t="n">
        <f aca="false">COUNTIF(Datos_Originales!$G$5:$G$16,A5)</f>
        <v>2</v>
      </c>
    </row>
    <row r="6" customFormat="false" ht="15" hidden="false" customHeight="true" outlineLevel="0" collapsed="false">
      <c r="A6" s="5" t="s">
        <v>30</v>
      </c>
      <c r="B6" s="11" t="n">
        <f aca="false">SUMIF(Datos_Originales!$G$5:$G$16,A6,Datos_Originales!$H$5:$H$16)</f>
        <v>30</v>
      </c>
      <c r="C6" s="11" t="n">
        <f aca="false">COUNTIF(Datos_Originales!$G$5:$G$16,A6)</f>
        <v>3</v>
      </c>
    </row>
    <row r="7" customFormat="false" ht="15" hidden="false" customHeight="true" outlineLevel="0" collapsed="false">
      <c r="A7" s="5" t="s">
        <v>33</v>
      </c>
      <c r="B7" s="11" t="n">
        <f aca="false">SUMIF(Datos_Originales!$G$5:$G$16,A7,Datos_Originales!$H$5:$H$16)</f>
        <v>3.5</v>
      </c>
      <c r="C7" s="11" t="n">
        <f aca="false">COUNTIF(Datos_Originales!$G$5:$G$16,A7)</f>
        <v>1</v>
      </c>
    </row>
    <row r="8" customFormat="false" ht="15" hidden="false" customHeight="true" outlineLevel="0" collapsed="false">
      <c r="A8" s="5" t="s">
        <v>36</v>
      </c>
      <c r="B8" s="11" t="n">
        <f aca="false">SUMIF(Datos_Originales!$G$5:$G$16,A8,Datos_Originales!$H$5:$H$16)</f>
        <v>10</v>
      </c>
      <c r="C8" s="11" t="n">
        <f aca="false">COUNTIF(Datos_Originales!$G$5:$G$16,A8)</f>
        <v>1</v>
      </c>
    </row>
    <row r="9" customFormat="false" ht="15" hidden="false" customHeight="true" outlineLevel="0" collapsed="false">
      <c r="A9" s="5" t="s">
        <v>39</v>
      </c>
      <c r="B9" s="11" t="n">
        <f aca="false">SUMIF(Datos_Originales!$G$5:$G$16,A9,Datos_Originales!$H$5:$H$16)</f>
        <v>4</v>
      </c>
      <c r="C9" s="11" t="n">
        <f aca="false">COUNTIF(Datos_Originales!$G$5:$G$16,A9)</f>
        <v>1</v>
      </c>
    </row>
    <row r="10" customFormat="false" ht="15" hidden="false" customHeight="true" outlineLevel="0" collapsed="false">
      <c r="A10" s="5" t="s">
        <v>42</v>
      </c>
      <c r="B10" s="11" t="n">
        <f aca="false">SUMIF(Datos_Originales!$G$5:$G$16,A10,Datos_Originales!$H$5:$H$16)</f>
        <v>6</v>
      </c>
      <c r="C10" s="11" t="n">
        <f aca="false">COUNTIF(Datos_Originales!$G$5:$G$16,A10)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25" hidden="false" customHeight="true" outlineLevel="0" collapsed="false">
      <c r="A1" s="9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2026-08-12T01:32:46Z</dcterms:created>
  <dc:creator>openpyxl</dc:creator>
  <dc:description/>
  <dc:language>en-US</dc:language>
  <cp:lastModifiedBy/>
  <dcterms:modified xsi:type="dcterms:W3CDTF">2026-08-12T01:33:40Z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